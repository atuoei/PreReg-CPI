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broad_from_ale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7E0FC4AFD6C744B4A4A6AE903CF02CDB"/>
        <xdr:cNvPicPr>
          <a:picLocks noChangeAspect="1"/>
        </xdr:cNvPicPr>
      </xdr:nvPicPr>
      <xdr:blipFill>
        <a:blip r:embed="rId1"/>
        <a:srcRect r="80189" b="89762"/>
        <a:stretch>
          <a:fillRect/>
        </a:stretch>
      </xdr:blipFill>
      <xdr:spPr>
        <a:xfrm>
          <a:off x="8267065" y="186690"/>
          <a:ext cx="1930400" cy="11309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AF804F95A95C484A86B0DA0C64AA80C0"/>
        <xdr:cNvPicPr>
          <a:picLocks noChangeAspect="1"/>
        </xdr:cNvPicPr>
      </xdr:nvPicPr>
      <xdr:blipFill>
        <a:blip r:embed="rId1"/>
        <a:srcRect l="19990" r="60684" b="90383"/>
        <a:stretch>
          <a:fillRect/>
        </a:stretch>
      </xdr:blipFill>
      <xdr:spPr>
        <a:xfrm>
          <a:off x="8287385" y="756920"/>
          <a:ext cx="1527810" cy="8629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E265395E3E4E49149AD6AE79FFD4618E" descr="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46110" y="1282700"/>
          <a:ext cx="614045" cy="615950"/>
        </a:xfrm>
        <a:prstGeom prst="rect">
          <a:avLst/>
        </a:prstGeom>
      </xdr:spPr>
    </xdr:pic>
  </etc:cellImage>
  <etc:cellImage>
    <xdr:pic>
      <xdr:nvPicPr>
        <xdr:cNvPr id="3" name="ID_9B19D787201646FCA674EE1C38D8DBB4" descr="3"/>
        <xdr:cNvPicPr/>
      </xdr:nvPicPr>
      <xdr:blipFill>
        <a:blip r:embed="rId3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5" name="ID_7B934BB07E5347628FB8D756C90A1C74" descr="4"/>
        <xdr:cNvPicPr/>
      </xdr:nvPicPr>
      <xdr:blipFill>
        <a:blip r:embed="rId4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6" name="ID_03DE815293FD498DA359455F7891B78B" descr="5"/>
        <xdr:cNvPicPr/>
      </xdr:nvPicPr>
      <xdr:blipFill>
        <a:blip r:embed="rId5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10" name="ID_C6C4FF578E1D44BBA7869CD1853E4E4B" descr="6"/>
        <xdr:cNvPicPr/>
      </xdr:nvPicPr>
      <xdr:blipFill>
        <a:blip r:embed="rId6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11" name="ID_5A15984943B2438B8D961F4602C2D52F" descr="7"/>
        <xdr:cNvPicPr/>
      </xdr:nvPicPr>
      <xdr:blipFill>
        <a:blip r:embed="rId7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12" name="ID_012456CF7BAC44BEAAFEA725AE02E210" descr="8"/>
        <xdr:cNvPicPr/>
      </xdr:nvPicPr>
      <xdr:blipFill>
        <a:blip r:embed="rId8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13" name="ID_DEDD19D26AE4480CB7CC447F4EA14504" descr="9"/>
        <xdr:cNvPicPr/>
      </xdr:nvPicPr>
      <xdr:blipFill>
        <a:blip r:embed="rId9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16" name="ID_B27B89AF8ABE471E9BC6E8876C11033B" descr="10"/>
        <xdr:cNvPicPr/>
      </xdr:nvPicPr>
      <xdr:blipFill>
        <a:blip r:embed="rId10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17" name="ID_2906F60B9E6C4D76B5B3FC91FC67635F" descr="11"/>
        <xdr:cNvPicPr/>
      </xdr:nvPicPr>
      <xdr:blipFill>
        <a:blip r:embed="rId11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18" name="ID_0CF7D6DAE1AB45349C05015B888FBE95" descr="12"/>
        <xdr:cNvPicPr/>
      </xdr:nvPicPr>
      <xdr:blipFill>
        <a:blip r:embed="rId12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19" name="ID_700133CE20DB4D9CB86A570263E4CD0B" descr="13"/>
        <xdr:cNvPicPr/>
      </xdr:nvPicPr>
      <xdr:blipFill>
        <a:blip r:embed="rId13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21" name="ID_3CD938F14062433B9FDA0C9EB99ED1E8" descr="14"/>
        <xdr:cNvPicPr/>
      </xdr:nvPicPr>
      <xdr:blipFill>
        <a:blip r:embed="rId14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22" name="ID_508651844E784651B8FF1CF94C160799" descr="15"/>
        <xdr:cNvPicPr/>
      </xdr:nvPicPr>
      <xdr:blipFill>
        <a:blip r:embed="rId15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23" name="ID_B17A1602CF4D433ABE614631003F9A54" descr="16"/>
        <xdr:cNvPicPr/>
      </xdr:nvPicPr>
      <xdr:blipFill>
        <a:blip r:embed="rId16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24" name="ID_1821A740991247348A3DA0D0B0DF9543" descr="17"/>
        <xdr:cNvPicPr/>
      </xdr:nvPicPr>
      <xdr:blipFill>
        <a:blip r:embed="rId17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25" name="ID_2A92F3140634421B8166902B9C780CAE" descr="18"/>
        <xdr:cNvPicPr/>
      </xdr:nvPicPr>
      <xdr:blipFill>
        <a:blip r:embed="rId18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29" name="ID_2B03AF8781AB41759A2C5264D8AB60B7" descr="20"/>
        <xdr:cNvPicPr/>
      </xdr:nvPicPr>
      <xdr:blipFill>
        <a:blip r:embed="rId19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30" name="ID_81942BDCF2A941C6994F966694DD4E1F" descr="19"/>
        <xdr:cNvPicPr/>
      </xdr:nvPicPr>
      <xdr:blipFill>
        <a:blip r:embed="rId20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31" name="ID_5193DB8A0845408EB03A09986A40DED4" descr="21"/>
        <xdr:cNvPicPr/>
      </xdr:nvPicPr>
      <xdr:blipFill>
        <a:blip r:embed="rId21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32" name="ID_6A417537A2AB45CF9183B75725A486EE" descr="22"/>
        <xdr:cNvPicPr/>
      </xdr:nvPicPr>
      <xdr:blipFill>
        <a:blip r:embed="rId22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33" name="ID_3916B3994CE74E2EA33E62463D7BDBA4" descr="23"/>
        <xdr:cNvPicPr/>
      </xdr:nvPicPr>
      <xdr:blipFill>
        <a:blip r:embed="rId23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34" name="ID_2BADB30B63EF4780BEBF2695A55EF7C2" descr="24"/>
        <xdr:cNvPicPr/>
      </xdr:nvPicPr>
      <xdr:blipFill>
        <a:blip r:embed="rId24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35" name="ID_15DAABF9C901431CA292C5EE814F312F" descr="25"/>
        <xdr:cNvPicPr/>
      </xdr:nvPicPr>
      <xdr:blipFill>
        <a:blip r:embed="rId25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36" name="ID_3D9FDC6D167641619A5D59C36A1B1025" descr="26"/>
        <xdr:cNvPicPr/>
      </xdr:nvPicPr>
      <xdr:blipFill>
        <a:blip r:embed="rId26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  <etc:cellImage>
    <xdr:pic>
      <xdr:nvPicPr>
        <xdr:cNvPr id="37" name="ID_E66C21D2452F4D42BE05141CEEE7F789" descr="27"/>
        <xdr:cNvPicPr/>
      </xdr:nvPicPr>
      <xdr:blipFill>
        <a:blip r:embed="rId27"/>
        <a:stretch>
          <a:fillRect/>
        </a:stretch>
      </xdr:blipFill>
      <xdr:spPr>
        <a:xfrm>
          <a:off x="0" y="0"/>
          <a:ext cx="2857500" cy="28575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<sst xmlns="http://schemas.openxmlformats.org/spreadsheetml/2006/main" count="67" uniqueCount="67">
  <si>
    <t>index</t>
  </si>
  <si>
    <t>smarts</t>
  </si>
  <si>
    <t>coverage</t>
  </si>
  <si>
    <t>mean_signal_pct</t>
  </si>
  <si>
    <t>median_signal_pct</t>
  </si>
  <si>
    <t>breadth_score</t>
  </si>
  <si>
    <t>mean_n_hits</t>
  </si>
  <si>
    <t>mean_pos_ig_active</t>
  </si>
  <si>
    <t>mean_delta_active</t>
  </si>
  <si>
    <t>smiles</t>
  </si>
  <si>
    <t>graph</t>
  </si>
  <si>
    <t>[#6]1:[#6]:[#6]:[#6](-[#8]):[#6]:[#6]:1</t>
  </si>
  <si>
    <t>OC1:C:C:C:C:C:1</t>
  </si>
  <si>
    <t>[#6]1:[#6]:[#6]:[#6](-[#9]):[#6]:[#6]:1</t>
  </si>
  <si>
    <t>FC1:C:C:C:C:C:1</t>
  </si>
  <si>
    <t>[#6]-[#6]1:[#6]:[#6]:[#6]:[#6]:[#6]:1</t>
  </si>
  <si>
    <t>CC1:C:C:C:C:C:1</t>
  </si>
  <si>
    <t>[#6]-[#8]-[#6]1:[#6]:[#6]:[#6]:[#6]:[#6]:1</t>
  </si>
  <si>
    <t>COC1:C:C:C:C:C:1</t>
  </si>
  <si>
    <t>[#6]:[#6]:[#6](-[#17]):[#6]:[#6]</t>
  </si>
  <si>
    <t>C:C:C(Cl):C:C</t>
  </si>
  <si>
    <t>[#6]1:[#6]:[#6]:[#6]:[#6]:[#6]:1</t>
  </si>
  <si>
    <t>C1:C:C:C:C:C:1</t>
  </si>
  <si>
    <t>[#6]-[#6](:[#6]):[#6](:[#6]:[#6])-[#17]</t>
  </si>
  <si>
    <t>C:C:C(Cl):C(:C)C</t>
  </si>
  <si>
    <t>[#7]-[#6]1:[#6]:[#6]:[#6]:[#6]:[#6]:1</t>
  </si>
  <si>
    <t>NC1:C:C:C:C:C:1</t>
  </si>
  <si>
    <t>[#6]-[#6]1:[#6]:[#6]:[#6](-[#8]):[#6]:[#6]:1</t>
  </si>
  <si>
    <t>CC1:C:C:C(O):C:C:1</t>
  </si>
  <si>
    <t>[#6]1:[#6]:[#6]:[#6](-[#8]-[#6]-[#6]):[#6]:[#6]:1</t>
  </si>
  <si>
    <t>CCOC1:C:C:C:C:C:1</t>
  </si>
  <si>
    <t>[#6]-[#8]-[#6](:[#6]:[#6]):[#6](:[#6])-[#6]</t>
  </si>
  <si>
    <t>C:C:C(OC):C(:C)C</t>
  </si>
  <si>
    <t>[#6]-[#6]1:[#6]:[#6]:[#6](-[#9]):[#6]:[#6]:1</t>
  </si>
  <si>
    <t>CC1:C:C:C(F):C:C:1</t>
  </si>
  <si>
    <t>[#6]-[#6]1:[#6]:[#6]:[#6](-[#6](:[#6]):[#6]):[#6]:[#6]:1</t>
  </si>
  <si>
    <t>C:C(:C)C1:C:C:C(C):C:C:1</t>
  </si>
  <si>
    <t>[#6]-[#8]-[#6]1:[#6]:[#6]:[#6]:[#6]:[#6]:1-[#8]</t>
  </si>
  <si>
    <t>COC1:C:C:C:C:C:1O</t>
  </si>
  <si>
    <t>[#6]-[#8]-[#6](-[#9])(-[#9])-[#9]</t>
  </si>
  <si>
    <t>COC(F)(F)F</t>
  </si>
  <si>
    <t>[#6]:[#6](-[#6]1:[#6]:[#6]:[#6](-[#9]):[#6]:[#6]:1):[#6]</t>
  </si>
  <si>
    <t>C:C(:C)C1:C:C:C(F):C:C:1</t>
  </si>
  <si>
    <t>[#8]-[#6]1:[#6]:[#6]:[#6]:[#6](-[#6]):[#6]:1</t>
  </si>
  <si>
    <t>CC1:C:C:C:C(O):C:1</t>
  </si>
  <si>
    <t>[#6]:[#6]1:[#6]:[#6]:[#6]:[#6]:[#6]:1</t>
  </si>
  <si>
    <t>C:C1:C:C:C:C:C:1</t>
  </si>
  <si>
    <t>[#6]-[#8]-[#6](:[#6]):[#6]</t>
  </si>
  <si>
    <t>C:C(:C)OC</t>
  </si>
  <si>
    <t>[#7]-[#6](:[#6]):[#6](:[#6]:[#6])-[#17]</t>
  </si>
  <si>
    <t>C:C:C(Cl):C(:C)N</t>
  </si>
  <si>
    <t>[#8]-[#6]1:[#6]:[#6]:[#6](-[#6](:[#6]):[#6]):[#6]:[#6]:1</t>
  </si>
  <si>
    <t>C:C(:C)C1:C:C:C(O):C:C:1</t>
  </si>
  <si>
    <t>[#6]:[#6](-[#6](-[#7])=[#8]):[#6]</t>
  </si>
  <si>
    <t>C:C(:C)C(N)=O</t>
  </si>
  <si>
    <t>[#6]:[#6]:[#6](-[#9]):[#6](-[#9]):[#6]</t>
  </si>
  <si>
    <t>C:C:C(F):C(:C)F</t>
  </si>
  <si>
    <t>[#7]1-[#6]-[#6]-[#7](-[#6]-[#6](:[#6]):[#6])-[#6]-[#6]-1</t>
  </si>
  <si>
    <t>C:C(:C)CN1CCNCC1</t>
  </si>
  <si>
    <t>[#7]-[#6](=[#8])-[#6]1:[#6]:[#6]:[#6](-[#6]):[#6]:[#6]:1</t>
  </si>
  <si>
    <t>CC1:C:C:C(C(N)=O):C:C:1</t>
  </si>
  <si>
    <t>[#6]:[#7]:[#6](-[#7]-[#6](:[#6]:[#6]):[#6]:[#6]):[#7]:[#6]</t>
  </si>
  <si>
    <t>C:C:C(:C:C)NC(:N:C):N:C</t>
  </si>
  <si>
    <t>[#6]-[#7]1-[#6]-[#6]-[#7](-[#6](:[#6]):[#6])-[#6]-[#6]-1</t>
  </si>
  <si>
    <t>C:C(:C)N1CCN(C)CC1</t>
  </si>
  <si>
    <t>[#6]-[#7]1-[#6]-[#6]-[#6]-[#6]-1</t>
  </si>
  <si>
    <t>CN1CCCC1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</si>
</sst>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zoomScaleSheetLayoutView="60" workbookViewId="0">
      <selection activeCell="J8" sqref="J8"/>
    </sheetView>
  </sheetViews>
  <sheetFormatPr defaultColWidth="9" defaultRowHeight="13.5"/>
  <cols>
    <col min="4" max="6" width="12.625"/>
    <col min="8" max="9" width="12.625"/>
    <col min="11" max="11" width="12.216666666666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3.9" spans="1:11">
      <c r="A2">
        <v>1</v>
      </c>
      <c r="B2" t="s">
        <v>11</v>
      </c>
      <c r="C2">
        <v>25</v>
      </c>
      <c r="D2">
        <v>0.759565149</v>
      </c>
      <c r="E2">
        <v>0.743319067</v>
      </c>
      <c r="F2">
        <v>0.996420472</v>
      </c>
      <c r="G2">
        <v>6.4</v>
      </c>
      <c r="H2">
        <v>0.239502183</v>
      </c>
      <c r="I2">
        <v>2.470681709</v>
      </c>
      <c r="J2" t="s">
        <v>12</v>
      </c>
      <c r="K2" t="str">
        <f>_xlfn.DISPIMG("ID_7E0FC4AFD6C744B4A4A6AE903CF02CDB",1)</f>
        <v>=DISPIMG("ID_7E0FC4AFD6C744B4A4A6AE903CF02CDB",1)</v>
      </c>
    </row>
    <row r="3" ht="42.35" spans="1:11">
      <c r="A3">
        <v>2</v>
      </c>
      <c r="B3" t="s">
        <v>13</v>
      </c>
      <c r="C3">
        <v>23</v>
      </c>
      <c r="D3">
        <v>0.780800255</v>
      </c>
      <c r="E3">
        <v>0.735249622</v>
      </c>
      <c r="F3">
        <v>0.996272697</v>
      </c>
      <c r="G3">
        <v>5.904761905</v>
      </c>
      <c r="H3">
        <v>0.198201836</v>
      </c>
      <c r="I3">
        <v>1.952434457</v>
      </c>
      <c r="J3" t="s">
        <v>14</v>
      </c>
      <c r="K3" t="str">
        <f>_xlfn.DISPIMG("ID_AF804F95A95C484A86B0DA0C64AA80C0",1)</f>
        <v>=DISPIMG("ID_AF804F95A95C484A86B0DA0C64AA80C0",1)</v>
      </c>
    </row>
    <row r="4" ht="50.75" spans="1:11">
      <c r="A4">
        <v>3</v>
      </c>
      <c r="B4" t="s">
        <v>15</v>
      </c>
      <c r="C4">
        <v>22</v>
      </c>
      <c r="D4">
        <v>0.728660606</v>
      </c>
      <c r="E4">
        <v>0.668304668</v>
      </c>
      <c r="F4">
        <v>0.998380929</v>
      </c>
      <c r="G4">
        <v>7.842105263</v>
      </c>
      <c r="H4">
        <v>0.187180705</v>
      </c>
      <c r="I4">
        <v>1.928895418</v>
      </c>
      <c r="J4" t="s">
        <v>16</v>
      </c>
      <c r="K4" t="str">
        <f>_xlfn.DISPIMG("ID_E265395E3E4E49149AD6AE79FFD4618E",1)</f>
        <v>=DISPIMG("ID_E265395E3E4E49149AD6AE79FFD4618E",1)</v>
      </c>
    </row>
    <row r="5" ht="73.3" spans="1:11">
      <c r="A5">
        <v>4</v>
      </c>
      <c r="B5" t="s">
        <v>17</v>
      </c>
      <c r="C5">
        <v>18</v>
      </c>
      <c r="D5">
        <v>0.774551228</v>
      </c>
      <c r="E5">
        <v>0.765486726</v>
      </c>
      <c r="F5">
        <v>0.997422138</v>
      </c>
      <c r="G5">
        <v>5.461538462</v>
      </c>
      <c r="H5">
        <v>0.22343522</v>
      </c>
      <c r="I5">
        <v>2.207950681</v>
      </c>
      <c r="J5" t="s">
        <v>18</v>
      </c>
      <c r="K5" t="str">
        <f>_xlfn.DISPIMG("ID_9B19D787201646FCA674EE1C38D8DBB4",1)</f>
        <v>=DISPIMG("ID_9B19D787201646FCA674EE1C38D8DBB4",1)</v>
      </c>
    </row>
    <row r="6" ht="73.3" spans="1:11">
      <c r="A6">
        <v>5</v>
      </c>
      <c r="B6" t="s">
        <v>19</v>
      </c>
      <c r="C6">
        <v>15</v>
      </c>
      <c r="D6">
        <v>0.789799828</v>
      </c>
      <c r="E6">
        <v>0.814360771</v>
      </c>
      <c r="F6">
        <v>0.996908089</v>
      </c>
      <c r="G6">
        <v>7</v>
      </c>
      <c r="H6">
        <v>0.214109526</v>
      </c>
      <c r="I6">
        <v>2.133432094</v>
      </c>
      <c r="J6" t="s">
        <v>20</v>
      </c>
      <c r="K6" t="str">
        <f>_xlfn.DISPIMG("ID_7B934BB07E5347628FB8D756C90A1C74",1)</f>
        <v>=DISPIMG("ID_7B934BB07E5347628FB8D756C90A1C74",1)</v>
      </c>
    </row>
    <row r="7" ht="73.3" spans="1:11">
      <c r="A7">
        <v>6</v>
      </c>
      <c r="B7" t="s">
        <v>21</v>
      </c>
      <c r="C7">
        <v>15</v>
      </c>
      <c r="D7">
        <v>0.735074503</v>
      </c>
      <c r="E7">
        <v>0.702576112</v>
      </c>
      <c r="F7">
        <v>0.996150036</v>
      </c>
      <c r="G7">
        <v>4.133333333</v>
      </c>
      <c r="H7">
        <v>0.206765554</v>
      </c>
      <c r="I7">
        <v>2.166297024</v>
      </c>
      <c r="J7" t="s">
        <v>22</v>
      </c>
      <c r="K7" t="str">
        <f>_xlfn.DISPIMG("ID_03DE815293FD498DA359455F7891B78B",1)</f>
        <v>=DISPIMG("ID_03DE815293FD498DA359455F7891B78B",1)</v>
      </c>
    </row>
    <row r="8" ht="73.3" spans="1:11">
      <c r="A8">
        <v>7</v>
      </c>
      <c r="B8" t="s">
        <v>23</v>
      </c>
      <c r="C8">
        <v>14</v>
      </c>
      <c r="D8">
        <v>0.785319469</v>
      </c>
      <c r="E8">
        <v>0.818920745</v>
      </c>
      <c r="F8">
        <v>0.996779235</v>
      </c>
      <c r="G8">
        <v>2.857142857</v>
      </c>
      <c r="H8">
        <v>0.212059245</v>
      </c>
      <c r="I8">
        <v>2.053609036</v>
      </c>
      <c r="J8" t="s">
        <v>24</v>
      </c>
      <c r="K8" t="str">
        <f>_xlfn.DISPIMG("ID_C6C4FF578E1D44BBA7869CD1853E4E4B",1)</f>
        <v>=DISPIMG("ID_C6C4FF578E1D44BBA7869CD1853E4E4B",1)</v>
      </c>
    </row>
    <row r="9" ht="73.3" spans="1:11">
      <c r="A9">
        <v>8</v>
      </c>
      <c r="B9" t="s">
        <v>25</v>
      </c>
      <c r="C9">
        <v>11</v>
      </c>
      <c r="D9">
        <v>0.799128713</v>
      </c>
      <c r="E9">
        <v>0.801963993</v>
      </c>
      <c r="F9">
        <v>0.995517752</v>
      </c>
      <c r="G9">
        <v>3.090909091</v>
      </c>
      <c r="H9">
        <v>0.224892132</v>
      </c>
      <c r="I9">
        <v>2.349967884</v>
      </c>
      <c r="J9" t="s">
        <v>26</v>
      </c>
      <c r="K9" t="str">
        <f>_xlfn.DISPIMG("ID_5A15984943B2438B8D961F4602C2D52F",1)</f>
        <v>=DISPIMG("ID_5A15984943B2438B8D961F4602C2D52F",1)</v>
      </c>
    </row>
    <row r="10" ht="73.3" spans="1:11">
      <c r="A10">
        <v>9</v>
      </c>
      <c r="B10" t="s">
        <v>27</v>
      </c>
      <c r="C10">
        <v>11</v>
      </c>
      <c r="D10">
        <v>0.773698435</v>
      </c>
      <c r="E10">
        <v>0.766129032</v>
      </c>
      <c r="F10">
        <v>0.994440834</v>
      </c>
      <c r="G10">
        <v>1.909090909</v>
      </c>
      <c r="H10">
        <v>0.239270461</v>
      </c>
      <c r="I10">
        <v>2.441306544</v>
      </c>
      <c r="J10" t="s">
        <v>28</v>
      </c>
      <c r="K10" t="str">
        <f>_xlfn.DISPIMG("ID_012456CF7BAC44BEAAFEA725AE02E210",1)</f>
        <v>=DISPIMG("ID_012456CF7BAC44BEAAFEA725AE02E210",1)</v>
      </c>
    </row>
    <row r="11" ht="73.3" spans="1:11">
      <c r="A11">
        <v>10</v>
      </c>
      <c r="B11" t="s">
        <v>29</v>
      </c>
      <c r="C11">
        <v>11</v>
      </c>
      <c r="D11">
        <v>0.77215547</v>
      </c>
      <c r="E11">
        <v>0.778869779</v>
      </c>
      <c r="F11">
        <v>0.995876053</v>
      </c>
      <c r="G11">
        <v>5.181818182</v>
      </c>
      <c r="H11">
        <v>0.212535888</v>
      </c>
      <c r="I11">
        <v>2.177401091</v>
      </c>
      <c r="J11" t="s">
        <v>30</v>
      </c>
      <c r="K11" t="str">
        <f>_xlfn.DISPIMG("ID_DEDD19D26AE4480CB7CC447F4EA14504",1)</f>
        <v>=DISPIMG("ID_DEDD19D26AE4480CB7CC447F4EA14504",1)</v>
      </c>
    </row>
    <row r="12" ht="73.3" spans="1:11">
      <c r="A12">
        <v>11</v>
      </c>
      <c r="B12" t="s">
        <v>31</v>
      </c>
      <c r="C12">
        <v>19</v>
      </c>
      <c r="D12">
        <v>0.783036077</v>
      </c>
      <c r="E12">
        <v>0.771662763</v>
      </c>
      <c r="F12">
        <v>0.994825239</v>
      </c>
      <c r="G12">
        <v>4.636363636</v>
      </c>
      <c r="H12">
        <v>0.222075854</v>
      </c>
      <c r="I12">
        <v>2.151008563</v>
      </c>
      <c r="J12" t="s">
        <v>32</v>
      </c>
      <c r="K12" t="str">
        <f>_xlfn.DISPIMG("ID_B27B89AF8ABE471E9BC6E8876C11033B",1)</f>
        <v>=DISPIMG("ID_B27B89AF8ABE471E9BC6E8876C11033B",1)</v>
      </c>
    </row>
    <row r="13" ht="73.3" spans="1:11">
      <c r="A13">
        <v>12</v>
      </c>
      <c r="B13" t="s">
        <v>33</v>
      </c>
      <c r="C13">
        <v>11</v>
      </c>
      <c r="D13">
        <v>0.722223856</v>
      </c>
      <c r="E13">
        <v>0.71942446</v>
      </c>
      <c r="F13">
        <v>0.996309944</v>
      </c>
      <c r="G13">
        <v>4</v>
      </c>
      <c r="H13">
        <v>0.213306801</v>
      </c>
      <c r="I13">
        <v>2.006708923</v>
      </c>
      <c r="J13" t="s">
        <v>34</v>
      </c>
      <c r="K13" t="str">
        <f>_xlfn.DISPIMG("ID_2906F60B9E6C4D76B5B3FC91FC67635F",1)</f>
        <v>=DISPIMG("ID_2906F60B9E6C4D76B5B3FC91FC67635F",1)</v>
      </c>
    </row>
    <row r="14" ht="73.3" spans="1:11">
      <c r="A14">
        <v>13</v>
      </c>
      <c r="B14" t="s">
        <v>35</v>
      </c>
      <c r="C14">
        <v>10</v>
      </c>
      <c r="D14">
        <v>0.810495685</v>
      </c>
      <c r="E14">
        <v>0.832566523</v>
      </c>
      <c r="F14">
        <v>0.99473288</v>
      </c>
      <c r="G14">
        <v>4.9</v>
      </c>
      <c r="H14">
        <v>0.225586612</v>
      </c>
      <c r="I14">
        <v>2.266758157</v>
      </c>
      <c r="J14" t="s">
        <v>36</v>
      </c>
      <c r="K14" t="str">
        <f>_xlfn.DISPIMG("ID_0CF7D6DAE1AB45349C05015B888FBE95",1)</f>
        <v>=DISPIMG("ID_0CF7D6DAE1AB45349C05015B888FBE95",1)</v>
      </c>
    </row>
    <row r="15" ht="73.3" spans="1:11">
      <c r="A15">
        <v>14</v>
      </c>
      <c r="B15" t="s">
        <v>37</v>
      </c>
      <c r="C15">
        <v>9</v>
      </c>
      <c r="D15">
        <v>0.855152043</v>
      </c>
      <c r="E15">
        <v>0.923333333</v>
      </c>
      <c r="F15">
        <v>0.995701908</v>
      </c>
      <c r="G15">
        <v>2.555555556</v>
      </c>
      <c r="H15">
        <v>0.223666844</v>
      </c>
      <c r="I15">
        <v>2.437712744</v>
      </c>
      <c r="J15" t="s">
        <v>38</v>
      </c>
      <c r="K15" t="str">
        <f>_xlfn.DISPIMG("ID_700133CE20DB4D9CB86A570263E4CD0B",1)</f>
        <v>=DISPIMG("ID_700133CE20DB4D9CB86A570263E4CD0B",1)</v>
      </c>
    </row>
    <row r="16" ht="73.3" spans="1:11">
      <c r="A16">
        <v>15</v>
      </c>
      <c r="B16" t="s">
        <v>39</v>
      </c>
      <c r="C16">
        <v>9</v>
      </c>
      <c r="D16">
        <v>0.799897134</v>
      </c>
      <c r="E16">
        <v>0.818023256</v>
      </c>
      <c r="F16">
        <v>0.99586486</v>
      </c>
      <c r="G16">
        <v>2.666666667</v>
      </c>
      <c r="H16">
        <v>0.216396406</v>
      </c>
      <c r="I16">
        <v>2.26350105</v>
      </c>
      <c r="J16" t="s">
        <v>40</v>
      </c>
      <c r="K16" t="str">
        <f>_xlfn.DISPIMG("ID_3CD938F14062433B9FDA0C9EB99ED1E8",1)</f>
        <v>=DISPIMG("ID_3CD938F14062433B9FDA0C9EB99ED1E8",1)</v>
      </c>
    </row>
    <row r="17" ht="73.3" spans="1:11">
      <c r="A17">
        <v>16</v>
      </c>
      <c r="B17" t="s">
        <v>41</v>
      </c>
      <c r="C17">
        <v>9</v>
      </c>
      <c r="D17">
        <v>0.798943971</v>
      </c>
      <c r="E17">
        <v>0.77603349</v>
      </c>
      <c r="F17">
        <v>0.996774147</v>
      </c>
      <c r="G17">
        <v>1.777777778</v>
      </c>
      <c r="H17">
        <v>0.229509849</v>
      </c>
      <c r="I17">
        <v>2.200977807</v>
      </c>
      <c r="J17" t="s">
        <v>42</v>
      </c>
      <c r="K17" t="str">
        <f>_xlfn.DISPIMG("ID_508651844E784651B8FF1CF94C160799",1)</f>
        <v>=DISPIMG("ID_508651844E784651B8FF1CF94C160799",1)</v>
      </c>
    </row>
    <row r="18" ht="73.3" spans="1:11">
      <c r="A18">
        <v>17</v>
      </c>
      <c r="B18" t="s">
        <v>43</v>
      </c>
      <c r="C18">
        <v>9</v>
      </c>
      <c r="D18">
        <v>0.79782601</v>
      </c>
      <c r="E18">
        <v>0.809980806</v>
      </c>
      <c r="F18">
        <v>0.996336471</v>
      </c>
      <c r="G18">
        <v>3.111111111</v>
      </c>
      <c r="H18">
        <v>0.213820349</v>
      </c>
      <c r="I18">
        <v>2.271160907</v>
      </c>
      <c r="J18" t="s">
        <v>44</v>
      </c>
      <c r="K18" t="str">
        <f>_xlfn.DISPIMG("ID_B17A1602CF4D433ABE614631003F9A54",1)</f>
        <v>=DISPIMG("ID_B17A1602CF4D433ABE614631003F9A54",1)</v>
      </c>
    </row>
    <row r="19" ht="73.3" spans="1:11">
      <c r="A19">
        <v>18</v>
      </c>
      <c r="B19" t="s">
        <v>45</v>
      </c>
      <c r="C19">
        <v>9</v>
      </c>
      <c r="D19">
        <v>0.775252605</v>
      </c>
      <c r="E19">
        <v>0.765981735</v>
      </c>
      <c r="F19">
        <v>0.996437896</v>
      </c>
      <c r="G19">
        <v>6.555555556</v>
      </c>
      <c r="H19">
        <v>0.203162805</v>
      </c>
      <c r="I19">
        <v>1.994616259</v>
      </c>
      <c r="J19" t="s">
        <v>46</v>
      </c>
      <c r="K19" t="str">
        <f>_xlfn.DISPIMG("ID_1821A740991247348A3DA0D0B0DF9543",1)</f>
        <v>=DISPIMG("ID_1821A740991247348A3DA0D0B0DF9543",1)</v>
      </c>
    </row>
    <row r="20" ht="73.3" spans="1:11">
      <c r="A20">
        <v>19</v>
      </c>
      <c r="B20" t="s">
        <v>47</v>
      </c>
      <c r="C20">
        <v>9</v>
      </c>
      <c r="D20">
        <v>0.736392914</v>
      </c>
      <c r="E20">
        <v>0.692740286</v>
      </c>
      <c r="F20">
        <v>0.995612198</v>
      </c>
      <c r="G20">
        <v>3.666666667</v>
      </c>
      <c r="H20">
        <v>0.185152457</v>
      </c>
      <c r="I20">
        <v>1.868400766</v>
      </c>
      <c r="J20" t="s">
        <v>48</v>
      </c>
      <c r="K20" t="str">
        <f>_xlfn.DISPIMG("ID_2A92F3140634421B8166902B9C780CAE",1)</f>
        <v>=DISPIMG("ID_2A92F3140634421B8166902B9C780CAE",1)</v>
      </c>
    </row>
    <row r="21" ht="73.3" spans="1:11">
      <c r="A21">
        <v>20</v>
      </c>
      <c r="B21" t="s">
        <v>49</v>
      </c>
      <c r="C21">
        <v>8</v>
      </c>
      <c r="D21">
        <v>0.850013604</v>
      </c>
      <c r="E21">
        <v>0.894880138</v>
      </c>
      <c r="F21">
        <v>0.997354315</v>
      </c>
      <c r="G21">
        <v>2</v>
      </c>
      <c r="H21">
        <v>0.265032525</v>
      </c>
      <c r="I21">
        <v>2.602359623</v>
      </c>
      <c r="J21" t="s">
        <v>50</v>
      </c>
      <c r="K21" t="str">
        <f>_xlfn.DISPIMG("ID_81942BDCF2A941C6994F966694DD4E1F",1)</f>
        <v>=DISPIMG("ID_81942BDCF2A941C6994F966694DD4E1F",1)</v>
      </c>
    </row>
    <row r="22" ht="73.3" spans="1:11">
      <c r="A22">
        <v>21</v>
      </c>
      <c r="B22" t="s">
        <v>51</v>
      </c>
      <c r="C22">
        <v>8</v>
      </c>
      <c r="D22">
        <v>0.823448361</v>
      </c>
      <c r="E22">
        <v>0.848986736</v>
      </c>
      <c r="F22">
        <v>0.99535049</v>
      </c>
      <c r="G22">
        <v>2.75</v>
      </c>
      <c r="H22">
        <v>0.248909466</v>
      </c>
      <c r="I22">
        <v>2.514429922</v>
      </c>
      <c r="J22" t="s">
        <v>52</v>
      </c>
      <c r="K22" t="str">
        <f>_xlfn.DISPIMG("ID_2B03AF8781AB41759A2C5264D8AB60B7",1)</f>
        <v>=DISPIMG("ID_2B03AF8781AB41759A2C5264D8AB60B7",1)</v>
      </c>
    </row>
    <row r="23" ht="73.3" spans="1:11">
      <c r="A23">
        <v>22</v>
      </c>
      <c r="B23" t="s">
        <v>53</v>
      </c>
      <c r="C23">
        <v>8</v>
      </c>
      <c r="D23">
        <v>0.805369165</v>
      </c>
      <c r="E23">
        <v>0.837718456</v>
      </c>
      <c r="F23">
        <v>0.997411678</v>
      </c>
      <c r="G23">
        <v>5.75</v>
      </c>
      <c r="H23">
        <v>0.21815332</v>
      </c>
      <c r="I23">
        <v>2.066250931</v>
      </c>
      <c r="J23" t="s">
        <v>54</v>
      </c>
      <c r="K23" t="str">
        <f>_xlfn.DISPIMG("ID_5193DB8A0845408EB03A09986A40DED4",1)</f>
        <v>=DISPIMG("ID_5193DB8A0845408EB03A09986A40DED4",1)</v>
      </c>
    </row>
    <row r="24" ht="73.3" spans="1:11">
      <c r="A24">
        <v>23</v>
      </c>
      <c r="B24" t="s">
        <v>55</v>
      </c>
      <c r="C24">
        <v>8</v>
      </c>
      <c r="D24">
        <v>0.786513443</v>
      </c>
      <c r="E24">
        <v>0.759592033</v>
      </c>
      <c r="F24">
        <v>0.992838442</v>
      </c>
      <c r="G24">
        <v>3</v>
      </c>
      <c r="H24">
        <v>0.219146778</v>
      </c>
      <c r="I24">
        <v>2.171013201</v>
      </c>
      <c r="J24" t="s">
        <v>56</v>
      </c>
      <c r="K24" t="str">
        <f>_xlfn.DISPIMG("ID_6A417537A2AB45CF9183B75725A486EE",1)</f>
        <v>=DISPIMG("ID_6A417537A2AB45CF9183B75725A486EE",1)</v>
      </c>
    </row>
    <row r="25" ht="73.3" spans="1:11">
      <c r="A25">
        <v>24</v>
      </c>
      <c r="B25" t="s">
        <v>57</v>
      </c>
      <c r="C25">
        <v>8</v>
      </c>
      <c r="D25">
        <v>0.782062219</v>
      </c>
      <c r="E25">
        <v>0.788616376</v>
      </c>
      <c r="F25">
        <v>0.994719759</v>
      </c>
      <c r="G25">
        <v>1.625</v>
      </c>
      <c r="H25">
        <v>0.223179172</v>
      </c>
      <c r="I25">
        <v>2.050522578</v>
      </c>
      <c r="J25" t="s">
        <v>58</v>
      </c>
      <c r="K25" t="str">
        <f>_xlfn.DISPIMG("ID_3916B3994CE74E2EA33E62463D7BDBA4",1)</f>
        <v>=DISPIMG("ID_3916B3994CE74E2EA33E62463D7BDBA4",1)</v>
      </c>
    </row>
    <row r="26" ht="73.3" spans="1:11">
      <c r="A26">
        <v>25</v>
      </c>
      <c r="B26" t="s">
        <v>59</v>
      </c>
      <c r="C26">
        <v>8</v>
      </c>
      <c r="D26">
        <v>0.769979069</v>
      </c>
      <c r="E26">
        <v>0.758251916</v>
      </c>
      <c r="F26">
        <v>0.997814985</v>
      </c>
      <c r="G26">
        <v>2.625</v>
      </c>
      <c r="H26">
        <v>0.212930019</v>
      </c>
      <c r="I26">
        <v>2.330059085</v>
      </c>
      <c r="J26" t="s">
        <v>60</v>
      </c>
      <c r="K26" t="str">
        <f>_xlfn.DISPIMG("ID_2BADB30B63EF4780BEBF2695A55EF7C2",1)</f>
        <v>=DISPIMG("ID_2BADB30B63EF4780BEBF2695A55EF7C2",1)</v>
      </c>
    </row>
    <row r="27" ht="73.3" spans="1:11">
      <c r="A27">
        <v>26</v>
      </c>
      <c r="B27" t="s">
        <v>61</v>
      </c>
      <c r="C27">
        <v>8</v>
      </c>
      <c r="D27">
        <v>0.766999335</v>
      </c>
      <c r="E27">
        <v>0.768895294</v>
      </c>
      <c r="F27">
        <v>0.996687094</v>
      </c>
      <c r="G27">
        <v>5.375</v>
      </c>
      <c r="H27">
        <v>0.219180879</v>
      </c>
      <c r="I27">
        <v>2.208242201</v>
      </c>
      <c r="J27" t="s">
        <v>62</v>
      </c>
      <c r="K27" t="str">
        <f>_xlfn.DISPIMG("ID_15DAABF9C901431CA292C5EE814F312F",1)</f>
        <v>=DISPIMG("ID_15DAABF9C901431CA292C5EE814F312F",1)</v>
      </c>
    </row>
    <row r="28" ht="73.3" spans="1:11">
      <c r="A28">
        <v>27</v>
      </c>
      <c r="B28" t="s">
        <v>63</v>
      </c>
      <c r="C28">
        <v>8</v>
      </c>
      <c r="D28">
        <v>0.765339393</v>
      </c>
      <c r="E28">
        <v>0.716351605</v>
      </c>
      <c r="F28">
        <v>0.994458297</v>
      </c>
      <c r="G28">
        <v>2.125</v>
      </c>
      <c r="H28">
        <v>0.218968951</v>
      </c>
      <c r="I28">
        <v>2.082070068</v>
      </c>
      <c r="J28" t="s">
        <v>64</v>
      </c>
      <c r="K28" t="str">
        <f>_xlfn.DISPIMG("ID_3D9FDC6D167641619A5D59C36A1B1025",1)</f>
        <v>=DISPIMG("ID_3D9FDC6D167641619A5D59C36A1B1025",1)</v>
      </c>
    </row>
    <row r="29" ht="73.3" spans="1:11">
      <c r="A29">
        <v>28</v>
      </c>
      <c r="B29" t="s">
        <v>65</v>
      </c>
      <c r="C29">
        <v>8</v>
      </c>
      <c r="D29">
        <v>0.749527239</v>
      </c>
      <c r="E29">
        <v>0.702491694</v>
      </c>
      <c r="F29">
        <v>0.994013932</v>
      </c>
      <c r="G29">
        <v>4.125</v>
      </c>
      <c r="H29">
        <v>0.218624822</v>
      </c>
      <c r="I29">
        <v>2.266508907</v>
      </c>
      <c r="J29" t="s">
        <v>66</v>
      </c>
      <c r="K29" t="str">
        <f>_xlfn.DISPIMG("ID_E66C21D2452F4D42BE05141CEEE7F789",1)</f>
        <v>=DISPIMG("ID_E66C21D2452F4D42BE05141CEEE7F789",1)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broad_from_alerts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WPS_1650889265</cp:lastModifiedBy>
  <dcterms:created xsi:type="dcterms:W3CDTF">2025-09-08T12:49:00Z</dcterms:created>
  <dcterms:modified xsi:type="dcterms:W3CDTF">2025-09-20T07:44:11Z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F24A5598AA1B48C39BB0E24FA11F8B20_13</vt:lpwstr>
  </property>
  <property fmtid="{D5CDD505-2E9C-101B-9397-08002B2CF9AE}" pid="3" name="KSOProductBuildVer">
    <vt:lpwstr>2052-12.1.0.22529</vt:lpwstr>
  </property>
</Properties>
</file>